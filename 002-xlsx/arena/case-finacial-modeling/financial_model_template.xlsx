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损益表" sheetId="1" state="visible" r:id="rId1"/>
    <sheet name="资产负债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color rgb="0000FF0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3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损益表 (Income Statement)</t>
        </is>
      </c>
    </row>
    <row r="2">
      <c r="A2" s="2" t="inlineStr">
        <is>
          <t>项目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2025E</t>
        </is>
      </c>
      <c r="F2" s="2" t="inlineStr">
        <is>
          <t>2026E</t>
        </is>
      </c>
    </row>
    <row r="3">
      <c r="A3" t="inlineStr">
        <is>
          <t>营业收入</t>
        </is>
      </c>
      <c r="B3" s="3" t="n">
        <v>50000</v>
      </c>
      <c r="C3" s="3" t="n">
        <v>60000</v>
      </c>
      <c r="D3" s="3" t="n">
        <v>72000</v>
      </c>
    </row>
    <row r="4">
      <c r="A4" t="inlineStr">
        <is>
          <t>营业成本</t>
        </is>
      </c>
      <c r="B4" s="3" t="n">
        <v>30000</v>
      </c>
      <c r="C4" s="3" t="n">
        <v>35000</v>
      </c>
      <c r="D4" s="3" t="n">
        <v>40000</v>
      </c>
    </row>
    <row r="5">
      <c r="A5" t="inlineStr">
        <is>
          <t>毛利</t>
        </is>
      </c>
      <c r="B5" s="4">
        <f>B3-B4</f>
        <v/>
      </c>
      <c r="C5" s="4">
        <f>C3-C4</f>
        <v/>
      </c>
      <c r="D5" s="4">
        <f>D3-D4</f>
        <v/>
      </c>
      <c r="E5" s="4">
        <f>E3-E4</f>
        <v/>
      </c>
      <c r="F5" s="4">
        <f>F3-F4</f>
        <v/>
      </c>
    </row>
    <row r="6">
      <c r="A6" t="inlineStr">
        <is>
          <t>销售费用</t>
        </is>
      </c>
      <c r="B6" s="3" t="n">
        <v>5000</v>
      </c>
      <c r="C6" s="3" t="n">
        <v>6000</v>
      </c>
      <c r="D6" s="3" t="n">
        <v>7200</v>
      </c>
    </row>
    <row r="7">
      <c r="A7" t="inlineStr">
        <is>
          <t>管理费用</t>
        </is>
      </c>
      <c r="B7" s="3" t="n">
        <v>3000</v>
      </c>
      <c r="C7" s="3" t="n">
        <v>3500</v>
      </c>
      <c r="D7" s="3" t="n">
        <v>4000</v>
      </c>
    </row>
    <row r="8">
      <c r="A8" t="inlineStr">
        <is>
          <t>研发费用</t>
        </is>
      </c>
      <c r="B8" s="3" t="n">
        <v>2000</v>
      </c>
      <c r="C8" s="3" t="n">
        <v>2500</v>
      </c>
      <c r="D8" s="3" t="n">
        <v>3000</v>
      </c>
    </row>
    <row r="9">
      <c r="A9" t="inlineStr">
        <is>
          <t>营业利润</t>
        </is>
      </c>
      <c r="B9" s="4">
        <f>B5-B6-B7-B8</f>
        <v/>
      </c>
      <c r="C9" s="4">
        <f>C5-C6-C7-C8</f>
        <v/>
      </c>
      <c r="D9" s="4">
        <f>D5-D6-D7-D8</f>
        <v/>
      </c>
      <c r="E9" s="4">
        <f>E5-E6-E7-E8</f>
        <v/>
      </c>
      <c r="F9" s="4">
        <f>F5-F6-F7-F8</f>
        <v/>
      </c>
    </row>
    <row r="10">
      <c r="A10" t="inlineStr">
        <is>
          <t>财务费用</t>
        </is>
      </c>
      <c r="B10" s="3" t="n">
        <v>500</v>
      </c>
      <c r="C10" s="3" t="n">
        <v>600</v>
      </c>
      <c r="D10" s="3" t="n">
        <v>700</v>
      </c>
    </row>
    <row r="11">
      <c r="A11" t="inlineStr">
        <is>
          <t>税前利润</t>
        </is>
      </c>
      <c r="B11" s="4">
        <f>B9-B10</f>
        <v/>
      </c>
      <c r="C11" s="4">
        <f>C9-C10</f>
        <v/>
      </c>
      <c r="D11" s="4">
        <f>D9-D10</f>
        <v/>
      </c>
      <c r="E11" s="4">
        <f>E9-E10</f>
        <v/>
      </c>
      <c r="F11" s="4">
        <f>F9-F10</f>
        <v/>
      </c>
    </row>
    <row r="12">
      <c r="A12" t="inlineStr">
        <is>
          <t>所得税</t>
        </is>
      </c>
      <c r="B12" s="4">
        <f>B11*0.25</f>
        <v/>
      </c>
      <c r="C12" s="4">
        <f>C11*0.25</f>
        <v/>
      </c>
      <c r="D12" s="4">
        <f>D11*0.25</f>
        <v/>
      </c>
      <c r="E12" s="4">
        <f>E11*0.25</f>
        <v/>
      </c>
      <c r="F12" s="4">
        <f>F11*0.25</f>
        <v/>
      </c>
    </row>
    <row r="13">
      <c r="A13" t="inlineStr">
        <is>
          <t>净利润</t>
        </is>
      </c>
      <c r="B13" s="5">
        <f>B11-B12</f>
        <v/>
      </c>
      <c r="C13" s="5">
        <f>C11-C12</f>
        <v/>
      </c>
      <c r="D13" s="5">
        <f>D11-D12</f>
        <v/>
      </c>
      <c r="E13" s="5">
        <f>E11-E12</f>
        <v/>
      </c>
      <c r="F13" s="5">
        <f>F11-F12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资产负债表 (Balance Sheet)</t>
        </is>
      </c>
    </row>
    <row r="2">
      <c r="A2" s="2" t="inlineStr">
        <is>
          <t>项目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2025E</t>
        </is>
      </c>
      <c r="F2" s="2" t="inlineStr">
        <is>
          <t>2026E</t>
        </is>
      </c>
    </row>
    <row r="3">
      <c r="A3" t="inlineStr">
        <is>
          <t>资产</t>
        </is>
      </c>
    </row>
    <row r="4">
      <c r="A4" t="inlineStr">
        <is>
          <t>流动资产</t>
        </is>
      </c>
      <c r="B4" s="3" t="n">
        <v>25000</v>
      </c>
      <c r="C4" s="3" t="n">
        <v>30000</v>
      </c>
      <c r="D4" s="3" t="n">
        <v>36000</v>
      </c>
    </row>
    <row r="5">
      <c r="A5" t="inlineStr">
        <is>
          <t xml:space="preserve">  现金及等价物</t>
        </is>
      </c>
      <c r="B5" s="3" t="n">
        <v>10000</v>
      </c>
      <c r="C5" s="3" t="n">
        <v>12000</v>
      </c>
      <c r="D5" s="3" t="n">
        <v>15000</v>
      </c>
    </row>
    <row r="6">
      <c r="A6" t="inlineStr">
        <is>
          <t xml:space="preserve">  应收账款</t>
        </is>
      </c>
      <c r="B6" s="3" t="n">
        <v>8000</v>
      </c>
      <c r="C6" s="3" t="n">
        <v>10000</v>
      </c>
      <c r="D6" s="3" t="n">
        <v>12000</v>
      </c>
    </row>
    <row r="7">
      <c r="A7" t="inlineStr">
        <is>
          <t xml:space="preserve">  存货</t>
        </is>
      </c>
      <c r="B7" s="3" t="n">
        <v>7000</v>
      </c>
      <c r="C7" s="3" t="n">
        <v>8000</v>
      </c>
      <c r="D7" s="3" t="n">
        <v>9000</v>
      </c>
    </row>
    <row r="8">
      <c r="A8" t="inlineStr">
        <is>
          <t>非流动资产</t>
        </is>
      </c>
      <c r="B8" s="3" t="n">
        <v>45000</v>
      </c>
      <c r="C8" s="3" t="n">
        <v>50000</v>
      </c>
      <c r="D8" s="3" t="n">
        <v>54000</v>
      </c>
    </row>
    <row r="9">
      <c r="A9" t="inlineStr">
        <is>
          <t xml:space="preserve">  固定资产净值</t>
        </is>
      </c>
      <c r="B9" s="3" t="n">
        <v>35000</v>
      </c>
      <c r="C9" s="3" t="n">
        <v>38000</v>
      </c>
      <c r="D9" s="3" t="n">
        <v>40000</v>
      </c>
    </row>
    <row r="10">
      <c r="A10" t="inlineStr">
        <is>
          <t xml:space="preserve">  无形资产</t>
        </is>
      </c>
      <c r="B10" s="3" t="n">
        <v>10000</v>
      </c>
      <c r="C10" s="3" t="n">
        <v>12000</v>
      </c>
      <c r="D10" s="3" t="n">
        <v>14000</v>
      </c>
    </row>
    <row r="11">
      <c r="A11" t="inlineStr">
        <is>
          <t>总资产</t>
        </is>
      </c>
      <c r="B11" s="5">
        <f>B4+B9</f>
        <v/>
      </c>
      <c r="C11" s="5">
        <f>C4+C9</f>
        <v/>
      </c>
      <c r="D11" s="5">
        <f>D4+D9</f>
        <v/>
      </c>
      <c r="E11" s="5">
        <f>E4+E9</f>
        <v/>
      </c>
      <c r="F11" s="5">
        <f>F4+F9</f>
        <v/>
      </c>
    </row>
    <row r="12">
      <c r="A12" t="inlineStr"/>
    </row>
    <row r="13">
      <c r="A13" t="inlineStr">
        <is>
          <t>负债与权益</t>
        </is>
      </c>
    </row>
    <row r="14">
      <c r="A14" t="inlineStr">
        <is>
          <t>流动负债</t>
        </is>
      </c>
      <c r="B14" s="3" t="n">
        <v>15000</v>
      </c>
      <c r="C14" s="3" t="n">
        <v>18000</v>
      </c>
      <c r="D14" s="3" t="n">
        <v>20000</v>
      </c>
    </row>
    <row r="15">
      <c r="A15" t="inlineStr">
        <is>
          <t xml:space="preserve">  应付账款</t>
        </is>
      </c>
      <c r="B15" s="3" t="n">
        <v>8000</v>
      </c>
      <c r="C15" s="3" t="n">
        <v>9000</v>
      </c>
      <c r="D15" s="3" t="n">
        <v>10000</v>
      </c>
    </row>
    <row r="16">
      <c r="A16" t="inlineStr">
        <is>
          <t xml:space="preserve">  短期借款</t>
        </is>
      </c>
      <c r="B16" s="3" t="n">
        <v>7000</v>
      </c>
      <c r="C16" s="3" t="n">
        <v>9000</v>
      </c>
      <c r="D16" s="3" t="n">
        <v>10000</v>
      </c>
    </row>
    <row r="17">
      <c r="A17" t="inlineStr">
        <is>
          <t>非流动负债</t>
        </is>
      </c>
      <c r="B17" s="3" t="n">
        <v>20000</v>
      </c>
      <c r="C17" s="3" t="n">
        <v>22000</v>
      </c>
      <c r="D17" s="3" t="n">
        <v>25000</v>
      </c>
    </row>
    <row r="18">
      <c r="A18" t="inlineStr">
        <is>
          <t xml:space="preserve">  长期借款</t>
        </is>
      </c>
      <c r="B18" s="3" t="n">
        <v>20000</v>
      </c>
      <c r="C18" s="3" t="n">
        <v>22000</v>
      </c>
      <c r="D18" s="3" t="n">
        <v>25000</v>
      </c>
    </row>
    <row r="19">
      <c r="A19" t="inlineStr">
        <is>
          <t>总负债</t>
        </is>
      </c>
      <c r="B19" s="5">
        <f>B14+B17</f>
        <v/>
      </c>
      <c r="C19" s="5">
        <f>C14+C17</f>
        <v/>
      </c>
      <c r="D19" s="5">
        <f>D14+D17</f>
        <v/>
      </c>
      <c r="E19" s="5">
        <f>E14+E17</f>
        <v/>
      </c>
      <c r="F19" s="5">
        <f>F14+F17</f>
        <v/>
      </c>
    </row>
    <row r="20">
      <c r="A20" t="inlineStr">
        <is>
          <t>股东权益</t>
        </is>
      </c>
      <c r="B20" s="5">
        <f>B21+B22</f>
        <v/>
      </c>
      <c r="C20" s="5">
        <f>C21+C22</f>
        <v/>
      </c>
      <c r="D20" s="5">
        <f>D21+D22</f>
        <v/>
      </c>
      <c r="E20" s="5">
        <f>E21+E22</f>
        <v/>
      </c>
      <c r="F20" s="5">
        <f>F21+F22</f>
        <v/>
      </c>
    </row>
    <row r="21">
      <c r="A21" t="inlineStr">
        <is>
          <t xml:space="preserve">  实收资本</t>
        </is>
      </c>
      <c r="B21" s="3" t="n">
        <v>20000</v>
      </c>
      <c r="C21" s="3" t="n">
        <v>20000</v>
      </c>
      <c r="D21" s="3" t="n">
        <v>20000</v>
      </c>
    </row>
    <row r="22">
      <c r="A22" t="inlineStr">
        <is>
          <t xml:space="preserve">  留存收益</t>
        </is>
      </c>
      <c r="B22" s="3" t="n">
        <v>15000</v>
      </c>
      <c r="C22" s="6">
        <f>B22+损益表!B13</f>
        <v/>
      </c>
      <c r="D22" s="6">
        <f>C22+损益表!C13</f>
        <v/>
      </c>
      <c r="E22" s="6">
        <f>D22+损益表!D13</f>
        <v/>
      </c>
      <c r="F22" s="6">
        <f>E22+损益表!E13</f>
        <v/>
      </c>
    </row>
    <row r="23">
      <c r="A23" t="inlineStr">
        <is>
          <t>负债与权益总计</t>
        </is>
      </c>
      <c r="B23" s="5">
        <f>B19+B20</f>
        <v/>
      </c>
      <c r="C23" s="5">
        <f>C19+C20</f>
        <v/>
      </c>
      <c r="D23" s="5">
        <f>D19+D20</f>
        <v/>
      </c>
      <c r="E23" s="5">
        <f>E19+E20</f>
        <v/>
      </c>
      <c r="F23" s="5">
        <f>F19+F20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现金流量表 (Cash Flow Statement)</t>
        </is>
      </c>
    </row>
    <row r="2">
      <c r="A2" s="2" t="inlineStr">
        <is>
          <t>项目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2025E</t>
        </is>
      </c>
      <c r="F2" s="2" t="inlineStr">
        <is>
          <t>2026E</t>
        </is>
      </c>
    </row>
    <row r="3">
      <c r="A3" t="inlineStr">
        <is>
          <t>经营活动现金流</t>
        </is>
      </c>
    </row>
    <row r="4">
      <c r="A4" t="inlineStr">
        <is>
          <t xml:space="preserve">  净利润</t>
        </is>
      </c>
      <c r="B4" s="6">
        <f>损益表!B13</f>
        <v/>
      </c>
      <c r="C4" s="6">
        <f>损益表!C13</f>
        <v/>
      </c>
      <c r="D4" s="6">
        <f>损益表!D13</f>
        <v/>
      </c>
      <c r="E4" s="6">
        <f>损益表!E13</f>
        <v/>
      </c>
      <c r="F4" s="6">
        <f>损益表!F13</f>
        <v/>
      </c>
    </row>
    <row r="5">
      <c r="A5" t="inlineStr">
        <is>
          <t xml:space="preserve">  折旧摊销</t>
        </is>
      </c>
      <c r="B5" s="3" t="n">
        <v>3000</v>
      </c>
      <c r="C5" s="3" t="n">
        <v>3500</v>
      </c>
      <c r="D5" s="3" t="n">
        <v>4000</v>
      </c>
    </row>
    <row r="6">
      <c r="A6" t="inlineStr">
        <is>
          <t xml:space="preserve">  应收账款变动</t>
        </is>
      </c>
      <c r="B6" s="7" t="n">
        <v>0</v>
      </c>
      <c r="C6" s="6">
        <f>资产负债表!B6-资产负债表!C6</f>
        <v/>
      </c>
      <c r="D6" s="6">
        <f>资产负债表!C6-资产负债表!D6</f>
        <v/>
      </c>
      <c r="E6" s="6">
        <f>资产负债表!D6-资产负债表!E6</f>
        <v/>
      </c>
      <c r="F6" s="6">
        <f>资产负债表!E6-资产负债表!F6</f>
        <v/>
      </c>
    </row>
    <row r="7">
      <c r="A7" t="inlineStr">
        <is>
          <t xml:space="preserve">  存货变动</t>
        </is>
      </c>
      <c r="B7" s="7" t="n">
        <v>0</v>
      </c>
      <c r="C7" s="6">
        <f>资产负债表!B7-资产负债表!C7</f>
        <v/>
      </c>
      <c r="D7" s="6">
        <f>资产负债表!C7-资产负债表!D7</f>
        <v/>
      </c>
      <c r="E7" s="6">
        <f>资产负债表!D7-资产负债表!E7</f>
        <v/>
      </c>
      <c r="F7" s="6">
        <f>资产负债表!E7-资产负债表!F7</f>
        <v/>
      </c>
    </row>
    <row r="8">
      <c r="A8" t="inlineStr">
        <is>
          <t xml:space="preserve">  应付账款变动</t>
        </is>
      </c>
      <c r="B8" s="7" t="n">
        <v>0</v>
      </c>
      <c r="C8" s="6">
        <f>资产负债表!C15-资产负债表!B15</f>
        <v/>
      </c>
      <c r="D8" s="6">
        <f>资产负债表!D15-资产负债表!C15</f>
        <v/>
      </c>
      <c r="E8" s="6">
        <f>资产负债表!E15-资产负债表!D15</f>
        <v/>
      </c>
      <c r="F8" s="6">
        <f>资产负债表!F15-资产负债表!E15</f>
        <v/>
      </c>
    </row>
    <row r="9">
      <c r="A9" t="inlineStr">
        <is>
          <t>经营活动现金流净额</t>
        </is>
      </c>
      <c r="B9" s="5">
        <f>B4+B5+B6+B7+B8</f>
        <v/>
      </c>
      <c r="C9" s="5">
        <f>C4+C5+C6+C7+C8</f>
        <v/>
      </c>
      <c r="D9" s="5">
        <f>D4+D5+D6+D7+D8</f>
        <v/>
      </c>
      <c r="E9" s="5">
        <f>E4+E5+E6+E7+E8</f>
        <v/>
      </c>
      <c r="F9" s="5">
        <f>F4+F5+F6+F7+F8</f>
        <v/>
      </c>
    </row>
    <row r="10">
      <c r="A10" t="inlineStr"/>
    </row>
    <row r="11">
      <c r="A11" t="inlineStr">
        <is>
          <t>投资活动现金流</t>
        </is>
      </c>
    </row>
    <row r="12">
      <c r="A12" t="inlineStr">
        <is>
          <t xml:space="preserve">  资本支出</t>
        </is>
      </c>
      <c r="B12" s="3" t="n">
        <v>-5000</v>
      </c>
      <c r="C12" s="3" t="n">
        <v>-6000</v>
      </c>
      <c r="D12" s="3" t="n">
        <v>-6000</v>
      </c>
    </row>
    <row r="13">
      <c r="A13" t="inlineStr">
        <is>
          <t>投资活动现金流净额</t>
        </is>
      </c>
      <c r="B13" s="4">
        <f>B12</f>
        <v/>
      </c>
      <c r="C13" s="4">
        <f>C12</f>
        <v/>
      </c>
      <c r="D13" s="4">
        <f>D12</f>
        <v/>
      </c>
      <c r="E13" s="4">
        <f>E12</f>
        <v/>
      </c>
      <c r="F13" s="4">
        <f>F12</f>
        <v/>
      </c>
    </row>
    <row r="14">
      <c r="A14" t="inlineStr"/>
    </row>
    <row r="15">
      <c r="A15" t="inlineStr">
        <is>
          <t>筹资活动现金流</t>
        </is>
      </c>
    </row>
    <row r="16">
      <c r="A16" t="inlineStr">
        <is>
          <t xml:space="preserve">  借款增加</t>
        </is>
      </c>
      <c r="B16" s="3" t="n">
        <v>2000</v>
      </c>
      <c r="C16" s="3" t="n">
        <v>4000</v>
      </c>
      <c r="D16" s="3" t="n">
        <v>4000</v>
      </c>
    </row>
    <row r="17">
      <c r="A17" t="inlineStr">
        <is>
          <t>筹资活动现金流净额</t>
        </is>
      </c>
      <c r="B17" s="4">
        <f>B16</f>
        <v/>
      </c>
      <c r="C17" s="4">
        <f>C16</f>
        <v/>
      </c>
      <c r="D17" s="4">
        <f>D16</f>
        <v/>
      </c>
      <c r="E17" s="4">
        <f>E16</f>
        <v/>
      </c>
      <c r="F17" s="4">
        <f>F16</f>
        <v/>
      </c>
    </row>
    <row r="18">
      <c r="A18" t="inlineStr"/>
    </row>
    <row r="19">
      <c r="A19" t="inlineStr">
        <is>
          <t>现金净增加额</t>
        </is>
      </c>
      <c r="B19" s="5">
        <f>B9+B13+B17</f>
        <v/>
      </c>
      <c r="C19" s="5">
        <f>C9+C13+C17</f>
        <v/>
      </c>
      <c r="D19" s="5">
        <f>D9+D13+D17</f>
        <v/>
      </c>
      <c r="E19" s="5">
        <f>E9+E13+E17</f>
        <v/>
      </c>
      <c r="F19" s="5">
        <f>F9+F13+F17</f>
        <v/>
      </c>
    </row>
    <row r="20">
      <c r="A20" t="inlineStr">
        <is>
          <t>期初现金</t>
        </is>
      </c>
      <c r="B20" s="8">
        <f>资产负债表!B5</f>
        <v/>
      </c>
      <c r="C20" s="6">
        <f>B21</f>
        <v/>
      </c>
      <c r="D20" s="6">
        <f>C21</f>
        <v/>
      </c>
      <c r="E20" s="6">
        <f>D21</f>
        <v/>
      </c>
      <c r="F20" s="6">
        <f>E21</f>
        <v/>
      </c>
    </row>
    <row r="21">
      <c r="A21" t="inlineStr">
        <is>
          <t>期末现金</t>
        </is>
      </c>
      <c r="B21" s="5">
        <f>B20+B19</f>
        <v/>
      </c>
      <c r="C21" s="5">
        <f>C20+C19</f>
        <v/>
      </c>
      <c r="D21" s="5">
        <f>D20+D19</f>
        <v/>
      </c>
      <c r="E21" s="5">
        <f>E20+E19</f>
        <v/>
      </c>
      <c r="F21" s="5">
        <f>F20+F19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2026-01-03T10:49:40Z</dcterms:created>
  <dcterms:modified xsi:type="dcterms:W3CDTF">2026-01-03T10:49:40Z</dcterms:modified>
</cp:coreProperties>
</file>